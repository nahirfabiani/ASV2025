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filterPrivacy="1" defaultThemeVersion="124226"/>
  <xr:revisionPtr revIDLastSave="0" documentId="8_{689EFB1A-4FF1-4585-A3FE-3B6D8A8FF8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</calcChain>
</file>

<file path=xl/sharedStrings.xml><?xml version="1.0" encoding="utf-8"?>
<sst xmlns="http://schemas.openxmlformats.org/spreadsheetml/2006/main" count="174" uniqueCount="87">
  <si>
    <t xml:space="preserve">INTERSECCION </t>
  </si>
  <si>
    <t>CANTIDAD</t>
  </si>
  <si>
    <t xml:space="preserve">FECHA </t>
  </si>
  <si>
    <t>Dia</t>
  </si>
  <si>
    <t>HORA</t>
  </si>
  <si>
    <t xml:space="preserve">TIPO DE SINIESTRO </t>
  </si>
  <si>
    <t>INVOLUCRADO</t>
  </si>
  <si>
    <t xml:space="preserve">PARTICIPANTE 1 </t>
  </si>
  <si>
    <t>ESTADO</t>
  </si>
  <si>
    <t>PARTICIPANTE 2</t>
  </si>
  <si>
    <t xml:space="preserve">CONDUCTOR </t>
  </si>
  <si>
    <t xml:space="preserve">ACOMPAÑANTE </t>
  </si>
  <si>
    <t>ACOMPAÑANTE 2</t>
  </si>
  <si>
    <t>ACOMPAÑANTE 3</t>
  </si>
  <si>
    <t>ACOMPAÑANTE 4</t>
  </si>
  <si>
    <t xml:space="preserve">ACOMPAÑENTE </t>
  </si>
  <si>
    <t xml:space="preserve">AV. FELIX U CAMET </t>
  </si>
  <si>
    <t xml:space="preserve">LORENZO SCAGLIA </t>
  </si>
  <si>
    <t>COLISIÓN - Lateral</t>
  </si>
  <si>
    <t>Auto - Auto</t>
  </si>
  <si>
    <t>Masculino 42</t>
  </si>
  <si>
    <t>Femenino 10</t>
  </si>
  <si>
    <t>Femenino 2</t>
  </si>
  <si>
    <t xml:space="preserve">Ileso - Herido - Herido </t>
  </si>
  <si>
    <t>Masculino 23</t>
  </si>
  <si>
    <t xml:space="preserve">ILESO </t>
  </si>
  <si>
    <t>SD</t>
  </si>
  <si>
    <t>Herido</t>
  </si>
  <si>
    <t>INDIVIDUAL - Perdida de control</t>
  </si>
  <si>
    <t>Moto</t>
  </si>
  <si>
    <t>Masculino 19</t>
  </si>
  <si>
    <t>Masculino 21</t>
  </si>
  <si>
    <t xml:space="preserve">FALLECIDO </t>
  </si>
  <si>
    <t>INDIVIDUAL - Choque Objeto Fijo</t>
  </si>
  <si>
    <t>Auto</t>
  </si>
  <si>
    <t xml:space="preserve">ATROPELLO A PEATÓN </t>
  </si>
  <si>
    <t>Peatón  - Moto</t>
  </si>
  <si>
    <t>ILESO</t>
  </si>
  <si>
    <t>Masculino 18</t>
  </si>
  <si>
    <t xml:space="preserve">Masculino 17 </t>
  </si>
  <si>
    <t>Masculino 17</t>
  </si>
  <si>
    <t>Femenino 17</t>
  </si>
  <si>
    <t>Herido - Herido - Herido - Herido - Herido</t>
  </si>
  <si>
    <t>Moto - Auto</t>
  </si>
  <si>
    <t>PABLO GROBER</t>
  </si>
  <si>
    <t>14:0000</t>
  </si>
  <si>
    <t xml:space="preserve">COLISIÓN - Por alcance </t>
  </si>
  <si>
    <t xml:space="preserve">Auto - Camioneta </t>
  </si>
  <si>
    <t xml:space="preserve">Maculino 63 </t>
  </si>
  <si>
    <t>Femenino 36</t>
  </si>
  <si>
    <t>Ileso - Herido</t>
  </si>
  <si>
    <t>Masculino 62</t>
  </si>
  <si>
    <t>JOAQUÍN FRENGELLI</t>
  </si>
  <si>
    <t>Femenino 40</t>
  </si>
  <si>
    <t>Masculino 33</t>
  </si>
  <si>
    <t>Herido - Ileso</t>
  </si>
  <si>
    <t xml:space="preserve">LUCAS KRAGLIEVICH </t>
  </si>
  <si>
    <t xml:space="preserve">COLISIÓN - Roce </t>
  </si>
  <si>
    <t>Masculino 50</t>
  </si>
  <si>
    <t>Femenino 45</t>
  </si>
  <si>
    <t xml:space="preserve">Moto - Colectivo </t>
  </si>
  <si>
    <t xml:space="preserve">Auto - Camión </t>
  </si>
  <si>
    <t>KM 506</t>
  </si>
  <si>
    <t>AV. JOSÉ COELHO DE MEYRELLES</t>
  </si>
  <si>
    <t>Auto - Camioneta</t>
  </si>
  <si>
    <t>Masculino 36</t>
  </si>
  <si>
    <t>Masculino 57</t>
  </si>
  <si>
    <t>COLISIÓN - En Angulo</t>
  </si>
  <si>
    <t>Masculino 35</t>
  </si>
  <si>
    <t>Masculino 53</t>
  </si>
  <si>
    <t>Masculino 32</t>
  </si>
  <si>
    <t>Masculino 61</t>
  </si>
  <si>
    <t>Femenino SD</t>
  </si>
  <si>
    <t>Masculino 25</t>
  </si>
  <si>
    <t>CURA BROCHERO</t>
  </si>
  <si>
    <t xml:space="preserve">FRAY LUIS BELTRÁN </t>
  </si>
  <si>
    <t>Masculino 55</t>
  </si>
  <si>
    <t>Masculino 44</t>
  </si>
  <si>
    <t>Masculino 30</t>
  </si>
  <si>
    <t>Se dio a la fuga</t>
  </si>
  <si>
    <t>COLISIÓN -  SIN DATO</t>
  </si>
  <si>
    <t>Carro con animal - Auto</t>
  </si>
  <si>
    <t>Masculino 43</t>
  </si>
  <si>
    <t>COLISIÓN - SIN DATO</t>
  </si>
  <si>
    <t>Masculino 81</t>
  </si>
  <si>
    <t>Femenino 76</t>
  </si>
  <si>
    <t>Ileso -  Herido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</si>
</sst>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5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9" borderId="0" xfId="0" applyFill="1" applyAlignment="1">
      <alignment horizontal="left" vertical="center" wrapText="1"/>
    </xf>
    <xf numFmtId="0" fontId="0" fillId="5" borderId="0" xfId="0" applyFill="1"/>
    <xf numFmtId="0" fontId="0" fillId="8" borderId="0" xfId="0" applyFill="1"/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wrapText="1"/>
    </xf>
    <xf numFmtId="0" fontId="0" fillId="8" borderId="1" xfId="0" applyFill="1" applyBorder="1" applyAlignment="1">
      <alignment horizontal="left" wrapText="1"/>
    </xf>
    <xf numFmtId="0" fontId="0" fillId="8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left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wrapText="1"/>
    </xf>
    <xf numFmtId="0" fontId="0" fillId="9" borderId="0" xfId="0" applyFill="1"/>
    <xf numFmtId="0" fontId="0" fillId="6" borderId="0" xfId="0" applyFill="1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center" vertical="center"/>
    </xf>
    <xf numFmtId="0" fontId="0" fillId="5" borderId="2" xfId="0" applyFill="1" applyBorder="1"/>
    <xf numFmtId="0" fontId="0" fillId="8" borderId="2" xfId="0" applyFill="1" applyBorder="1"/>
    <xf numFmtId="0" fontId="0" fillId="9" borderId="2" xfId="0" applyFill="1" applyBorder="1"/>
    <xf numFmtId="0" fontId="2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7" borderId="0" xfId="0" applyFill="1" applyAlignment="1">
      <alignment wrapText="1"/>
    </xf>
    <xf numFmtId="0" fontId="0" fillId="7" borderId="0" xfId="0" applyFill="1"/>
    <xf numFmtId="0" fontId="0" fillId="7" borderId="2" xfId="0" applyFill="1" applyBorder="1"/>
    <xf numFmtId="0" fontId="0" fillId="6" borderId="2" xfId="0" applyFill="1" applyBorder="1"/>
    <xf numFmtId="0" fontId="0" fillId="7" borderId="1" xfId="0" applyFill="1" applyBorder="1" applyAlignment="1">
      <alignment horizontal="left" wrapText="1"/>
    </xf>
    <xf numFmtId="0" fontId="0" fillId="7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/>
    <xf numFmtId="0" fontId="0" fillId="4" borderId="3" xfId="0" applyFill="1" applyBorder="1"/>
    <xf numFmtId="14" fontId="0" fillId="2" borderId="0" xfId="0" applyNumberFormat="1" applyFill="1"/>
    <xf numFmtId="0" fontId="0" fillId="11" borderId="1" xfId="0" applyFill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left" vertical="center" wrapText="1"/>
    </xf>
    <xf numFmtId="0" fontId="0" fillId="11" borderId="0" xfId="0" applyFill="1"/>
    <xf numFmtId="0" fontId="0" fillId="11" borderId="2" xfId="0" applyFill="1" applyBorder="1"/>
    <xf numFmtId="14" fontId="0" fillId="5" borderId="0" xfId="0" applyNumberFormat="1" applyFill="1"/>
    <xf numFmtId="0" fontId="0" fillId="3" borderId="1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0" fillId="11" borderId="0" xfId="0" applyNumberFormat="1" applyFill="1" applyAlignment="1">
      <alignment horizontal="left" vertical="center" wrapText="1"/>
    </xf>
    <xf numFmtId="164" fontId="0" fillId="8" borderId="0" xfId="0" applyNumberFormat="1" applyFill="1" applyAlignment="1">
      <alignment horizontal="left" vertical="center" wrapText="1"/>
    </xf>
    <xf numFmtId="164" fontId="0" fillId="9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/>
    </xf>
    <xf numFmtId="164" fontId="0" fillId="3" borderId="4" xfId="0" applyNumberFormat="1" applyFill="1" applyBorder="1" applyAlignment="1">
      <alignment horizontal="left"/>
    </xf>
    <xf numFmtId="165" fontId="0" fillId="2" borderId="0" xfId="0" applyNumberFormat="1" applyFill="1" applyAlignment="1">
      <alignment horizontal="left"/>
    </xf>
    <xf numFmtId="165" fontId="0" fillId="5" borderId="0" xfId="0" applyNumberFormat="1" applyFill="1" applyAlignment="1">
      <alignment horizontal="left"/>
    </xf>
    <xf numFmtId="165" fontId="0" fillId="11" borderId="0" xfId="0" applyNumberFormat="1" applyFill="1" applyAlignment="1">
      <alignment horizontal="left" wrapText="1"/>
    </xf>
    <xf numFmtId="165" fontId="0" fillId="8" borderId="0" xfId="0" applyNumberFormat="1" applyFill="1" applyAlignment="1">
      <alignment horizontal="left" wrapText="1"/>
    </xf>
    <xf numFmtId="165" fontId="0" fillId="9" borderId="0" xfId="0" applyNumberFormat="1" applyFill="1" applyAlignment="1">
      <alignment horizontal="left" wrapText="1"/>
    </xf>
    <xf numFmtId="165" fontId="0" fillId="6" borderId="0" xfId="0" applyNumberFormat="1" applyFill="1" applyAlignment="1">
      <alignment horizontal="left" wrapText="1"/>
    </xf>
    <xf numFmtId="165" fontId="0" fillId="3" borderId="0" xfId="0" applyNumberFormat="1" applyFill="1" applyAlignment="1">
      <alignment horizontal="left"/>
    </xf>
    <xf numFmtId="165" fontId="0" fillId="3" borderId="4" xfId="0" applyNumberFormat="1" applyFill="1" applyBorder="1" applyAlignment="1">
      <alignment horizontal="left"/>
    </xf>
    <xf numFmtId="14" fontId="0" fillId="6" borderId="0" xfId="0" applyNumberFormat="1" applyFill="1"/>
    <xf numFmtId="14" fontId="0" fillId="12" borderId="0" xfId="0" applyNumberFormat="1" applyFill="1"/>
    <xf numFmtId="14" fontId="0" fillId="11" borderId="0" xfId="0" applyNumberFormat="1" applyFill="1"/>
    <xf numFmtId="14" fontId="0" fillId="9" borderId="0" xfId="0" applyNumberFormat="1" applyFill="1"/>
    <xf numFmtId="14" fontId="0" fillId="8" borderId="0" xfId="0" applyNumberFormat="1" applyFill="1"/>
    <xf numFmtId="164" fontId="0" fillId="12" borderId="0" xfId="0" applyNumberFormat="1" applyFill="1" applyAlignment="1">
      <alignment horizontal="left" vertical="center" wrapText="1"/>
    </xf>
    <xf numFmtId="165" fontId="0" fillId="12" borderId="0" xfId="0" applyNumberFormat="1" applyFill="1" applyAlignment="1">
      <alignment horizontal="left" wrapText="1"/>
    </xf>
    <xf numFmtId="14" fontId="0" fillId="3" borderId="0" xfId="0" applyNumberFormat="1" applyFill="1"/>
    <xf numFmtId="0" fontId="0" fillId="10" borderId="8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textRotation="255" wrapText="1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zoomScale="85" zoomScaleNormal="85" workbookViewId="0">
      <pane xSplit="2" ySplit="2" topLeftCell="H3" activePane="bottomRight" state="frozen"/>
      <selection pane="bottomRight" activeCell="K29" sqref="K29"/>
      <selection pane="bottomLeft" activeCell="A3" sqref="A3"/>
      <selection pane="topRight" activeCell="C1" sqref="C1"/>
    </sheetView>
  </sheetViews>
  <sheetFormatPr defaultColWidth="11.42578125" defaultRowHeight="14.45"/>
  <cols>
    <col min="1" max="1" width="3" customWidth="1"/>
    <col min="2" max="2" width="40.140625" customWidth="1"/>
    <col min="3" max="3" width="15" style="1" customWidth="1"/>
    <col min="4" max="5" width="15.5703125" customWidth="1"/>
    <col min="6" max="6" width="11.28515625" customWidth="1"/>
    <col min="7" max="7" width="33" customWidth="1"/>
    <col min="8" max="8" width="21.85546875" customWidth="1"/>
    <col min="9" max="9" width="15.5703125" customWidth="1"/>
    <col min="10" max="13" width="20" customWidth="1"/>
    <col min="14" max="14" width="24.42578125" customWidth="1"/>
    <col min="15" max="15" width="20.85546875" customWidth="1"/>
    <col min="16" max="16" width="22" customWidth="1"/>
    <col min="17" max="17" width="15.28515625" customWidth="1"/>
  </cols>
  <sheetData>
    <row r="1" spans="1:17" ht="15" customHeight="1">
      <c r="B1" s="81" t="s">
        <v>0</v>
      </c>
      <c r="C1" s="81" t="s">
        <v>1</v>
      </c>
      <c r="D1" s="81" t="s">
        <v>2</v>
      </c>
      <c r="E1" s="81" t="s">
        <v>3</v>
      </c>
      <c r="F1" s="81" t="s">
        <v>4</v>
      </c>
      <c r="G1" s="81" t="s">
        <v>5</v>
      </c>
      <c r="H1" s="81" t="s">
        <v>6</v>
      </c>
      <c r="I1" s="84" t="s">
        <v>7</v>
      </c>
      <c r="J1" s="86"/>
      <c r="K1" s="85"/>
      <c r="L1" s="56"/>
      <c r="M1" s="56"/>
      <c r="N1" s="81" t="s">
        <v>8</v>
      </c>
      <c r="O1" s="84" t="s">
        <v>9</v>
      </c>
      <c r="P1" s="85"/>
      <c r="Q1" s="81" t="s">
        <v>8</v>
      </c>
    </row>
    <row r="2" spans="1:17" ht="15" thickBot="1">
      <c r="B2" s="82"/>
      <c r="C2" s="82"/>
      <c r="D2" s="82"/>
      <c r="E2" s="82"/>
      <c r="F2" s="82"/>
      <c r="G2" s="82"/>
      <c r="H2" s="82"/>
      <c r="I2" s="54" t="s">
        <v>10</v>
      </c>
      <c r="J2" s="55" t="s">
        <v>11</v>
      </c>
      <c r="K2" s="55" t="s">
        <v>12</v>
      </c>
      <c r="L2" s="55" t="s">
        <v>13</v>
      </c>
      <c r="M2" s="55" t="s">
        <v>14</v>
      </c>
      <c r="N2" s="82"/>
      <c r="O2" s="54" t="s">
        <v>10</v>
      </c>
      <c r="P2" s="55" t="s">
        <v>15</v>
      </c>
      <c r="Q2" s="82"/>
    </row>
    <row r="3" spans="1:17">
      <c r="A3" s="83" t="s">
        <v>16</v>
      </c>
      <c r="B3" s="21" t="s">
        <v>17</v>
      </c>
      <c r="C3" s="22">
        <v>10</v>
      </c>
      <c r="D3" s="57">
        <v>44780</v>
      </c>
      <c r="E3" s="41" t="str">
        <f>TEXT(D3, "dddd")</f>
        <v>domingo</v>
      </c>
      <c r="F3" s="65">
        <v>1.0416666666666667</v>
      </c>
      <c r="G3" s="23" t="s">
        <v>18</v>
      </c>
      <c r="H3" s="23" t="s">
        <v>19</v>
      </c>
      <c r="I3" s="23" t="s">
        <v>20</v>
      </c>
      <c r="J3" s="23" t="s">
        <v>21</v>
      </c>
      <c r="K3" s="23" t="s">
        <v>22</v>
      </c>
      <c r="L3" s="23"/>
      <c r="M3" s="23"/>
      <c r="N3" s="23" t="s">
        <v>23</v>
      </c>
      <c r="O3" s="23" t="s">
        <v>24</v>
      </c>
      <c r="P3" s="23"/>
      <c r="Q3" s="24" t="s">
        <v>25</v>
      </c>
    </row>
    <row r="4" spans="1:17">
      <c r="A4" s="83"/>
      <c r="B4" s="25"/>
      <c r="C4" s="26"/>
      <c r="D4" s="57">
        <v>44814</v>
      </c>
      <c r="E4" s="41" t="str">
        <f t="shared" ref="E4:E26" si="0">TEXT(D4, "dddd")</f>
        <v>sábado</v>
      </c>
      <c r="F4" s="65">
        <v>17.708333333333332</v>
      </c>
      <c r="G4" s="23" t="s">
        <v>18</v>
      </c>
      <c r="H4" s="23" t="s">
        <v>19</v>
      </c>
      <c r="I4" s="23" t="s">
        <v>26</v>
      </c>
      <c r="J4" s="23"/>
      <c r="K4" s="23"/>
      <c r="L4" s="23"/>
      <c r="M4" s="23"/>
      <c r="N4" s="23" t="s">
        <v>27</v>
      </c>
      <c r="O4" s="23" t="s">
        <v>26</v>
      </c>
      <c r="P4" s="23"/>
      <c r="Q4" s="24" t="s">
        <v>25</v>
      </c>
    </row>
    <row r="5" spans="1:17">
      <c r="A5" s="83"/>
      <c r="B5" s="25"/>
      <c r="C5" s="26"/>
      <c r="D5" s="57">
        <v>45229</v>
      </c>
      <c r="E5" s="41" t="str">
        <f t="shared" si="0"/>
        <v>lunes</v>
      </c>
      <c r="F5" s="65">
        <v>23.958333333333332</v>
      </c>
      <c r="G5" s="23" t="s">
        <v>28</v>
      </c>
      <c r="H5" s="23" t="s">
        <v>29</v>
      </c>
      <c r="I5" s="23" t="s">
        <v>30</v>
      </c>
      <c r="J5" s="23"/>
      <c r="K5" s="23"/>
      <c r="L5" s="23"/>
      <c r="M5" s="23"/>
      <c r="N5" s="23" t="s">
        <v>27</v>
      </c>
      <c r="O5" s="23"/>
      <c r="P5" s="23"/>
      <c r="Q5" s="24"/>
    </row>
    <row r="6" spans="1:17">
      <c r="A6" s="83"/>
      <c r="B6" s="25"/>
      <c r="C6" s="26"/>
      <c r="D6" s="57">
        <v>43589</v>
      </c>
      <c r="E6" s="41" t="str">
        <f t="shared" si="0"/>
        <v>sábado</v>
      </c>
      <c r="F6" s="65">
        <v>0.25</v>
      </c>
      <c r="G6" s="23" t="s">
        <v>28</v>
      </c>
      <c r="H6" s="23" t="s">
        <v>29</v>
      </c>
      <c r="I6" s="23" t="s">
        <v>31</v>
      </c>
      <c r="J6" s="23"/>
      <c r="K6" s="23"/>
      <c r="L6" s="23"/>
      <c r="M6" s="23"/>
      <c r="N6" s="23" t="s">
        <v>32</v>
      </c>
      <c r="O6" s="23"/>
      <c r="P6" s="23"/>
      <c r="Q6" s="24"/>
    </row>
    <row r="7" spans="1:17">
      <c r="A7" s="83"/>
      <c r="B7" s="25"/>
      <c r="C7" s="26"/>
      <c r="D7" s="57">
        <v>43816</v>
      </c>
      <c r="E7" s="41" t="str">
        <f t="shared" si="0"/>
        <v>martes</v>
      </c>
      <c r="F7" s="65">
        <v>0.16666666666666666</v>
      </c>
      <c r="G7" s="23" t="s">
        <v>33</v>
      </c>
      <c r="H7" s="23" t="s">
        <v>29</v>
      </c>
      <c r="I7" s="23" t="s">
        <v>26</v>
      </c>
      <c r="J7" s="23"/>
      <c r="K7" s="23"/>
      <c r="L7" s="23"/>
      <c r="M7" s="23"/>
      <c r="N7" s="23" t="s">
        <v>27</v>
      </c>
      <c r="O7" s="23"/>
      <c r="P7" s="23"/>
      <c r="Q7" s="24"/>
    </row>
    <row r="8" spans="1:17">
      <c r="A8" s="83"/>
      <c r="B8" s="25"/>
      <c r="C8" s="26"/>
      <c r="D8" s="57">
        <v>44170</v>
      </c>
      <c r="E8" s="41" t="str">
        <f t="shared" si="0"/>
        <v>sábado</v>
      </c>
      <c r="F8" s="65">
        <v>0.31944444444444448</v>
      </c>
      <c r="G8" s="23" t="s">
        <v>28</v>
      </c>
      <c r="H8" s="23" t="s">
        <v>34</v>
      </c>
      <c r="I8" s="23" t="s">
        <v>26</v>
      </c>
      <c r="J8" s="23" t="s">
        <v>26</v>
      </c>
      <c r="K8" s="23" t="s">
        <v>26</v>
      </c>
      <c r="L8" s="23"/>
      <c r="M8" s="23"/>
      <c r="N8" s="23" t="s">
        <v>23</v>
      </c>
      <c r="O8" s="23"/>
      <c r="P8" s="23"/>
      <c r="Q8" s="24"/>
    </row>
    <row r="9" spans="1:17">
      <c r="A9" s="83"/>
      <c r="B9" s="25"/>
      <c r="C9" s="26"/>
      <c r="D9" s="57">
        <v>44287</v>
      </c>
      <c r="E9" s="41" t="str">
        <f t="shared" si="0"/>
        <v>jueves</v>
      </c>
      <c r="F9" s="65">
        <v>0.875</v>
      </c>
      <c r="G9" s="23" t="s">
        <v>35</v>
      </c>
      <c r="H9" s="23" t="s">
        <v>36</v>
      </c>
      <c r="I9" s="23" t="s">
        <v>26</v>
      </c>
      <c r="J9" s="23"/>
      <c r="K9" s="23"/>
      <c r="L9" s="23"/>
      <c r="M9" s="23"/>
      <c r="N9" s="23" t="s">
        <v>27</v>
      </c>
      <c r="O9" s="23" t="s">
        <v>26</v>
      </c>
      <c r="P9" s="23"/>
      <c r="Q9" s="24" t="s">
        <v>37</v>
      </c>
    </row>
    <row r="10" spans="1:17">
      <c r="A10" s="83"/>
      <c r="B10" s="25"/>
      <c r="C10" s="26"/>
      <c r="D10" s="57">
        <v>44323</v>
      </c>
      <c r="E10" s="41" t="str">
        <f t="shared" si="0"/>
        <v>viernes</v>
      </c>
      <c r="F10" s="65">
        <v>0.5</v>
      </c>
      <c r="G10" s="23" t="s">
        <v>18</v>
      </c>
      <c r="H10" s="23" t="s">
        <v>19</v>
      </c>
      <c r="I10" s="23" t="s">
        <v>26</v>
      </c>
      <c r="J10" s="23"/>
      <c r="K10" s="23"/>
      <c r="L10" s="23"/>
      <c r="M10" s="23"/>
      <c r="N10" s="23" t="s">
        <v>37</v>
      </c>
      <c r="O10" s="23"/>
      <c r="P10" s="23"/>
      <c r="Q10" s="24" t="s">
        <v>37</v>
      </c>
    </row>
    <row r="11" spans="1:17">
      <c r="A11" s="83"/>
      <c r="B11" s="25"/>
      <c r="C11" s="26"/>
      <c r="D11" s="57">
        <v>44507</v>
      </c>
      <c r="E11" s="41" t="str">
        <f t="shared" si="0"/>
        <v>domingo</v>
      </c>
      <c r="F11" s="65">
        <v>0.375</v>
      </c>
      <c r="G11" s="23" t="s">
        <v>33</v>
      </c>
      <c r="H11" s="23" t="s">
        <v>34</v>
      </c>
      <c r="I11" s="23" t="s">
        <v>38</v>
      </c>
      <c r="J11" s="23" t="s">
        <v>39</v>
      </c>
      <c r="K11" s="23" t="s">
        <v>40</v>
      </c>
      <c r="L11" s="23" t="s">
        <v>41</v>
      </c>
      <c r="M11" s="23" t="s">
        <v>40</v>
      </c>
      <c r="N11" s="23" t="s">
        <v>42</v>
      </c>
      <c r="O11" s="23"/>
      <c r="P11" s="23"/>
      <c r="Q11" s="24"/>
    </row>
    <row r="12" spans="1:17">
      <c r="A12" s="83"/>
      <c r="B12" s="25"/>
      <c r="C12" s="26"/>
      <c r="D12" s="57">
        <v>44584</v>
      </c>
      <c r="E12" s="41" t="str">
        <f t="shared" si="0"/>
        <v>domingo</v>
      </c>
      <c r="F12" s="65">
        <v>0.95833333333333337</v>
      </c>
      <c r="G12" s="23" t="s">
        <v>18</v>
      </c>
      <c r="H12" s="23" t="s">
        <v>43</v>
      </c>
      <c r="I12" s="23" t="s">
        <v>26</v>
      </c>
      <c r="J12" s="23"/>
      <c r="K12" s="23"/>
      <c r="L12" s="23"/>
      <c r="M12" s="23"/>
      <c r="N12" s="23" t="s">
        <v>27</v>
      </c>
      <c r="O12" s="23"/>
      <c r="P12" s="23"/>
      <c r="Q12" s="24" t="s">
        <v>25</v>
      </c>
    </row>
    <row r="13" spans="1:17">
      <c r="A13" s="83"/>
      <c r="B13" s="6" t="s">
        <v>44</v>
      </c>
      <c r="C13" s="3">
        <v>1</v>
      </c>
      <c r="D13" s="58">
        <v>44814</v>
      </c>
      <c r="E13" s="47" t="str">
        <f t="shared" si="0"/>
        <v>sábado</v>
      </c>
      <c r="F13" s="66" t="s">
        <v>45</v>
      </c>
      <c r="G13" s="10" t="s">
        <v>46</v>
      </c>
      <c r="H13" s="10" t="s">
        <v>47</v>
      </c>
      <c r="I13" s="10" t="s">
        <v>48</v>
      </c>
      <c r="J13" s="10" t="s">
        <v>49</v>
      </c>
      <c r="K13" s="10"/>
      <c r="L13" s="10"/>
      <c r="M13" s="10"/>
      <c r="N13" s="10" t="s">
        <v>50</v>
      </c>
      <c r="O13" s="10" t="s">
        <v>51</v>
      </c>
      <c r="P13" s="10"/>
      <c r="Q13" s="27" t="s">
        <v>25</v>
      </c>
    </row>
    <row r="14" spans="1:17">
      <c r="A14" s="83"/>
      <c r="B14" s="42" t="s">
        <v>52</v>
      </c>
      <c r="C14" s="43">
        <v>1</v>
      </c>
      <c r="D14" s="59">
        <v>43626</v>
      </c>
      <c r="E14" s="75" t="str">
        <f t="shared" si="0"/>
        <v>lunes</v>
      </c>
      <c r="F14" s="67">
        <v>0.70833333333333337</v>
      </c>
      <c r="G14" s="44" t="s">
        <v>33</v>
      </c>
      <c r="H14" s="44" t="s">
        <v>34</v>
      </c>
      <c r="I14" s="44" t="s">
        <v>53</v>
      </c>
      <c r="J14" s="44" t="s">
        <v>54</v>
      </c>
      <c r="K14" s="44"/>
      <c r="L14" s="44"/>
      <c r="M14" s="44"/>
      <c r="N14" s="45" t="s">
        <v>55</v>
      </c>
      <c r="O14" s="45"/>
      <c r="P14" s="45"/>
      <c r="Q14" s="46"/>
    </row>
    <row r="15" spans="1:17" ht="17.25" customHeight="1">
      <c r="A15" s="83"/>
      <c r="B15" s="14" t="s">
        <v>56</v>
      </c>
      <c r="C15" s="15">
        <v>3</v>
      </c>
      <c r="D15" s="60">
        <v>44665</v>
      </c>
      <c r="E15" s="77" t="str">
        <f t="shared" si="0"/>
        <v>jueves</v>
      </c>
      <c r="F15" s="68">
        <v>0.91666666666666663</v>
      </c>
      <c r="G15" s="12" t="s">
        <v>57</v>
      </c>
      <c r="H15" s="12" t="s">
        <v>43</v>
      </c>
      <c r="I15" s="12" t="s">
        <v>58</v>
      </c>
      <c r="J15" s="13"/>
      <c r="K15" s="13"/>
      <c r="L15" s="13"/>
      <c r="M15" s="13"/>
      <c r="N15" s="11" t="s">
        <v>27</v>
      </c>
      <c r="O15" s="11" t="s">
        <v>59</v>
      </c>
      <c r="P15" s="11"/>
      <c r="Q15" s="28" t="s">
        <v>37</v>
      </c>
    </row>
    <row r="16" spans="1:17">
      <c r="A16" s="83"/>
      <c r="B16" s="7"/>
      <c r="C16" s="2"/>
      <c r="D16" s="60">
        <v>44285</v>
      </c>
      <c r="E16" s="77" t="str">
        <f t="shared" si="0"/>
        <v>martes</v>
      </c>
      <c r="F16" s="68">
        <v>0.54166666666666663</v>
      </c>
      <c r="G16" s="12" t="s">
        <v>18</v>
      </c>
      <c r="H16" s="12" t="s">
        <v>60</v>
      </c>
      <c r="I16" s="12" t="s">
        <v>26</v>
      </c>
      <c r="J16" s="13"/>
      <c r="K16" s="13"/>
      <c r="L16" s="13"/>
      <c r="M16" s="13"/>
      <c r="N16" s="11" t="s">
        <v>27</v>
      </c>
      <c r="O16" s="11" t="s">
        <v>26</v>
      </c>
      <c r="P16" s="11"/>
      <c r="Q16" s="28" t="s">
        <v>37</v>
      </c>
    </row>
    <row r="17" spans="1:17">
      <c r="A17" s="83"/>
      <c r="B17" s="7"/>
      <c r="C17" s="2"/>
      <c r="D17" s="60">
        <v>44201</v>
      </c>
      <c r="E17" s="77" t="str">
        <f t="shared" si="0"/>
        <v>martes</v>
      </c>
      <c r="F17" s="68">
        <v>0.54166666666666663</v>
      </c>
      <c r="G17" s="12" t="s">
        <v>46</v>
      </c>
      <c r="H17" s="12" t="s">
        <v>61</v>
      </c>
      <c r="I17" s="12" t="s">
        <v>26</v>
      </c>
      <c r="J17" s="13"/>
      <c r="K17" s="13"/>
      <c r="L17" s="13"/>
      <c r="M17" s="13"/>
      <c r="N17" s="11" t="s">
        <v>27</v>
      </c>
      <c r="O17" s="11" t="s">
        <v>26</v>
      </c>
      <c r="P17" s="11"/>
      <c r="Q17" s="28" t="s">
        <v>37</v>
      </c>
    </row>
    <row r="18" spans="1:17">
      <c r="A18" s="83"/>
      <c r="B18" s="16" t="s">
        <v>62</v>
      </c>
      <c r="C18" s="17">
        <v>1</v>
      </c>
      <c r="D18" s="61">
        <v>44372</v>
      </c>
      <c r="E18" s="76" t="str">
        <f t="shared" si="0"/>
        <v>viernes</v>
      </c>
      <c r="F18" s="69">
        <v>0.91666666666666663</v>
      </c>
      <c r="G18" s="9" t="s">
        <v>33</v>
      </c>
      <c r="H18" s="9" t="s">
        <v>34</v>
      </c>
      <c r="I18" s="9" t="s">
        <v>26</v>
      </c>
      <c r="J18" s="18"/>
      <c r="K18" s="18"/>
      <c r="L18" s="18"/>
      <c r="M18" s="18"/>
      <c r="N18" s="19" t="s">
        <v>27</v>
      </c>
      <c r="O18" s="19"/>
      <c r="P18" s="19"/>
      <c r="Q18" s="29"/>
    </row>
    <row r="19" spans="1:17">
      <c r="A19" s="83"/>
      <c r="B19" s="8" t="s">
        <v>63</v>
      </c>
      <c r="C19" s="30">
        <v>4</v>
      </c>
      <c r="D19" s="62">
        <v>44388</v>
      </c>
      <c r="E19" s="73" t="str">
        <f t="shared" si="0"/>
        <v>domingo</v>
      </c>
      <c r="F19" s="70">
        <v>0.58333333333333337</v>
      </c>
      <c r="G19" s="4" t="s">
        <v>33</v>
      </c>
      <c r="H19" s="4" t="s">
        <v>64</v>
      </c>
      <c r="I19" s="4" t="s">
        <v>65</v>
      </c>
      <c r="J19" s="5"/>
      <c r="K19" s="5"/>
      <c r="L19" s="5"/>
      <c r="M19" s="5"/>
      <c r="N19" s="20" t="s">
        <v>27</v>
      </c>
      <c r="O19" s="20" t="s">
        <v>66</v>
      </c>
      <c r="P19" s="20"/>
      <c r="Q19" s="35" t="s">
        <v>37</v>
      </c>
    </row>
    <row r="20" spans="1:17">
      <c r="A20" s="83"/>
      <c r="B20" s="7"/>
      <c r="C20" s="31"/>
      <c r="D20" s="62">
        <v>44592</v>
      </c>
      <c r="E20" s="73" t="str">
        <f t="shared" si="0"/>
        <v>lunes</v>
      </c>
      <c r="F20" s="70">
        <v>0.75</v>
      </c>
      <c r="G20" s="4" t="s">
        <v>67</v>
      </c>
      <c r="H20" s="4" t="s">
        <v>43</v>
      </c>
      <c r="I20" s="4" t="s">
        <v>68</v>
      </c>
      <c r="J20" s="5"/>
      <c r="K20" s="5"/>
      <c r="L20" s="5"/>
      <c r="M20" s="5"/>
      <c r="N20" s="20" t="s">
        <v>27</v>
      </c>
      <c r="O20" s="20" t="s">
        <v>69</v>
      </c>
      <c r="P20" s="20"/>
      <c r="Q20" s="35" t="s">
        <v>37</v>
      </c>
    </row>
    <row r="21" spans="1:17">
      <c r="A21" s="83"/>
      <c r="B21" s="7"/>
      <c r="C21" s="31"/>
      <c r="D21" s="62">
        <v>44609</v>
      </c>
      <c r="E21" s="73" t="str">
        <f t="shared" si="0"/>
        <v>jueves</v>
      </c>
      <c r="F21" s="70">
        <v>0.29166666666666669</v>
      </c>
      <c r="G21" s="4" t="s">
        <v>18</v>
      </c>
      <c r="H21" s="4" t="s">
        <v>43</v>
      </c>
      <c r="I21" s="4" t="s">
        <v>70</v>
      </c>
      <c r="J21" s="5"/>
      <c r="K21" s="5"/>
      <c r="L21" s="5"/>
      <c r="M21" s="5"/>
      <c r="N21" s="20" t="s">
        <v>27</v>
      </c>
      <c r="O21" s="20" t="s">
        <v>71</v>
      </c>
      <c r="P21" s="20"/>
      <c r="Q21" s="35" t="s">
        <v>37</v>
      </c>
    </row>
    <row r="22" spans="1:17">
      <c r="A22" s="83"/>
      <c r="B22" s="7"/>
      <c r="C22" s="31"/>
      <c r="D22" s="62">
        <v>44894</v>
      </c>
      <c r="E22" s="73" t="str">
        <f t="shared" si="0"/>
        <v>martes</v>
      </c>
      <c r="F22" s="70">
        <v>0.66666666666666663</v>
      </c>
      <c r="G22" s="4" t="s">
        <v>18</v>
      </c>
      <c r="H22" s="4" t="s">
        <v>43</v>
      </c>
      <c r="I22" s="4" t="s">
        <v>72</v>
      </c>
      <c r="J22" s="5"/>
      <c r="K22" s="5"/>
      <c r="L22" s="5"/>
      <c r="M22" s="5"/>
      <c r="N22" s="20" t="s">
        <v>27</v>
      </c>
      <c r="O22" s="20" t="s">
        <v>73</v>
      </c>
      <c r="P22" s="20"/>
      <c r="Q22" s="35" t="s">
        <v>37</v>
      </c>
    </row>
    <row r="23" spans="1:17">
      <c r="A23" s="83"/>
      <c r="B23" s="36" t="s">
        <v>74</v>
      </c>
      <c r="C23" s="37">
        <v>1</v>
      </c>
      <c r="D23" s="78">
        <v>44900</v>
      </c>
      <c r="E23" s="74" t="str">
        <f t="shared" si="0"/>
        <v>lunes</v>
      </c>
      <c r="F23" s="79">
        <v>0.83333333333333337</v>
      </c>
      <c r="G23" s="32" t="s">
        <v>35</v>
      </c>
      <c r="H23" s="32" t="s">
        <v>36</v>
      </c>
      <c r="I23" s="32" t="s">
        <v>26</v>
      </c>
      <c r="J23" s="32"/>
      <c r="K23" s="32"/>
      <c r="L23" s="32"/>
      <c r="M23" s="32"/>
      <c r="N23" s="33" t="s">
        <v>27</v>
      </c>
      <c r="O23" s="33" t="s">
        <v>26</v>
      </c>
      <c r="P23" s="33"/>
      <c r="Q23" s="34" t="s">
        <v>27</v>
      </c>
    </row>
    <row r="24" spans="1:17">
      <c r="B24" s="48" t="s">
        <v>75</v>
      </c>
      <c r="C24" s="49">
        <v>4</v>
      </c>
      <c r="D24" s="63">
        <v>44900</v>
      </c>
      <c r="E24" s="80" t="str">
        <f t="shared" si="0"/>
        <v>lunes</v>
      </c>
      <c r="F24" s="71">
        <v>0.79166666666666663</v>
      </c>
      <c r="G24" s="50" t="s">
        <v>35</v>
      </c>
      <c r="H24" s="50" t="s">
        <v>36</v>
      </c>
      <c r="I24" s="50" t="s">
        <v>76</v>
      </c>
      <c r="J24" s="50"/>
      <c r="K24" s="50"/>
      <c r="L24" s="50"/>
      <c r="M24" s="50"/>
      <c r="N24" s="50" t="s">
        <v>27</v>
      </c>
      <c r="O24" s="50" t="s">
        <v>77</v>
      </c>
      <c r="P24" s="50"/>
      <c r="Q24" s="51" t="s">
        <v>27</v>
      </c>
    </row>
    <row r="25" spans="1:17">
      <c r="B25" s="39"/>
      <c r="C25" s="26"/>
      <c r="D25" s="63">
        <v>44989</v>
      </c>
      <c r="E25" s="80" t="str">
        <f t="shared" si="0"/>
        <v>sábado</v>
      </c>
      <c r="F25" s="71">
        <v>0</v>
      </c>
      <c r="G25" s="50" t="s">
        <v>46</v>
      </c>
      <c r="H25" s="50" t="s">
        <v>19</v>
      </c>
      <c r="I25" s="50" t="s">
        <v>53</v>
      </c>
      <c r="J25" s="50"/>
      <c r="K25" s="50"/>
      <c r="L25" s="50"/>
      <c r="M25" s="50"/>
      <c r="N25" s="50" t="s">
        <v>27</v>
      </c>
      <c r="O25" s="50" t="s">
        <v>78</v>
      </c>
      <c r="P25" s="50"/>
      <c r="Q25" s="51" t="s">
        <v>79</v>
      </c>
    </row>
    <row r="26" spans="1:17">
      <c r="B26" s="39"/>
      <c r="C26" s="26"/>
      <c r="D26" s="63">
        <v>45043</v>
      </c>
      <c r="E26" s="80" t="str">
        <f t="shared" si="0"/>
        <v>jueves</v>
      </c>
      <c r="F26" s="71">
        <v>0.83333333333333337</v>
      </c>
      <c r="G26" s="50" t="s">
        <v>80</v>
      </c>
      <c r="H26" s="50" t="s">
        <v>81</v>
      </c>
      <c r="I26" s="50" t="s">
        <v>31</v>
      </c>
      <c r="J26" s="50" t="s">
        <v>73</v>
      </c>
      <c r="K26" s="50"/>
      <c r="L26" s="50"/>
      <c r="M26" s="50"/>
      <c r="N26" s="50" t="s">
        <v>50</v>
      </c>
      <c r="O26" s="50" t="s">
        <v>82</v>
      </c>
      <c r="P26" s="50"/>
      <c r="Q26" s="51" t="s">
        <v>37</v>
      </c>
    </row>
    <row r="27" spans="1:17" ht="12.75" customHeight="1">
      <c r="B27" s="39"/>
      <c r="C27" s="26"/>
      <c r="D27" s="63">
        <v>44084</v>
      </c>
      <c r="E27" s="80" t="str">
        <f>TEXT(D27, "dddd")</f>
        <v>jueves</v>
      </c>
      <c r="F27" s="71">
        <v>0.79166666666666663</v>
      </c>
      <c r="G27" s="50" t="s">
        <v>83</v>
      </c>
      <c r="H27" s="50" t="s">
        <v>64</v>
      </c>
      <c r="I27" s="50" t="s">
        <v>84</v>
      </c>
      <c r="J27" s="50" t="s">
        <v>85</v>
      </c>
      <c r="K27" s="50"/>
      <c r="L27" s="50"/>
      <c r="M27" s="50"/>
      <c r="N27" s="50" t="s">
        <v>86</v>
      </c>
      <c r="O27" s="50" t="s">
        <v>70</v>
      </c>
      <c r="P27" s="50"/>
      <c r="Q27" s="51" t="s">
        <v>37</v>
      </c>
    </row>
    <row r="28" spans="1:17" ht="6" customHeight="1" thickBot="1">
      <c r="B28" s="40"/>
      <c r="C28" s="38"/>
      <c r="D28" s="64"/>
      <c r="E28" s="52"/>
      <c r="F28" s="7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3"/>
    </row>
  </sheetData>
  <mergeCells count="12">
    <mergeCell ref="Q1:Q2"/>
    <mergeCell ref="A3:A23"/>
    <mergeCell ref="O1:P1"/>
    <mergeCell ref="H1:H2"/>
    <mergeCell ref="E1:E2"/>
    <mergeCell ref="B1:B2"/>
    <mergeCell ref="D1:D2"/>
    <mergeCell ref="C1:C2"/>
    <mergeCell ref="F1:F2"/>
    <mergeCell ref="G1:G2"/>
    <mergeCell ref="N1:N2"/>
    <mergeCell ref="I1:K1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2026-01-04T12:54:26Z</dcterms:modified>
  <cp:category/>
  <cp:contentStatus/>
</cp:coreProperties>
</file>